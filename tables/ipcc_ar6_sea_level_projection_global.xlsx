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elizabeth/Documents/GitHub/ice-sheet-sej-2025/tables/"/>
    </mc:Choice>
  </mc:AlternateContent>
  <xr:revisionPtr revIDLastSave="0" documentId="8_{015AFF8C-BC3B-0146-BE95-B880C09F85FD}" xr6:coauthVersionLast="47" xr6:coauthVersionMax="47" xr10:uidLastSave="{00000000-0000-0000-0000-000000000000}"/>
  <bookViews>
    <workbookView xWindow="600" yWindow="760" windowWidth="34560" windowHeight="20140" activeTab="1" xr2:uid="{00000000-000D-0000-FFFF-FFFF00000000}"/>
  </bookViews>
  <sheets>
    <sheet name="ReadMe" sheetId="1" r:id="rId1"/>
    <sheet name="GIS" sheetId="4" r:id="rId2"/>
    <sheet name="AIS" sheetId="5" r:id="rId3"/>
  </sheets>
  <definedNames>
    <definedName name="_xlnm._FilterDatabase" localSheetId="2" hidden="1">AIS!$A$1:$E$21</definedName>
    <definedName name="_xlnm._FilterDatabase" localSheetId="1" hidden="1">GIS!$A$1:$E$21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4" i="5"/>
  <c r="F5" i="5"/>
  <c r="F6" i="5"/>
  <c r="F7" i="5"/>
  <c r="F8" i="5"/>
  <c r="F9" i="5"/>
  <c r="F10" i="5"/>
  <c r="F11" i="5"/>
  <c r="F12" i="5"/>
  <c r="F13" i="5"/>
  <c r="F14" i="5"/>
  <c r="F15" i="5"/>
  <c r="F16" i="5"/>
  <c r="F2" i="5"/>
  <c r="F3" i="4"/>
  <c r="F4" i="4"/>
  <c r="F5" i="4"/>
  <c r="F6" i="4"/>
  <c r="F7" i="4"/>
  <c r="F8" i="4"/>
  <c r="F9" i="4"/>
  <c r="F10" i="4"/>
  <c r="F11" i="4"/>
  <c r="F12" i="4"/>
  <c r="F13" i="4"/>
  <c r="F14" i="4"/>
  <c r="F15" i="4"/>
  <c r="F16" i="4"/>
  <c r="F2" i="4"/>
</calcChain>
</file>

<file path=xl/sharedStrings.xml><?xml version="1.0" encoding="utf-8"?>
<sst xmlns="http://schemas.openxmlformats.org/spreadsheetml/2006/main" count="118" uniqueCount="29">
  <si>
    <t>License</t>
  </si>
  <si>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</si>
  <si>
    <t>Required Citation and Acknowledgements</t>
  </si>
  <si>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</si>
  <si>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</si>
  <si>
    <t>2. Garner, G. G., R. E. Kopp, T. Hermans, A. B. A. Slangen, G. Koubbe, M. Turilli, S. Jha, T. L. Edwards, A. Levermann, S. Nowikci, M. D. Palmer, C. Smith, in prep. Framework for Assessing Changes To Sea-level (FACTS). Geoscientific Model Development.</t>
  </si>
  <si>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</si>
  <si>
    <t>Please also include in the acknowledgements of works citing these projections:</t>
  </si>
  <si>
    <t>We thank the projection authors for developing and making the sea-level rise projections available, multiple funding agencies for supporting the development of the projections, and the NASA Sea-Level Change Team for developing and hosting the IPCC AR6 Sea-Level Projection Tool.</t>
  </si>
  <si>
    <t>Acknowledgements</t>
  </si>
  <si>
    <t>The development of the sea-level rise projections was supported by multiple funders, including:</t>
  </si>
  <si>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</si>
  <si>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</si>
  <si>
    <t>Corresponding Authors</t>
  </si>
  <si>
    <t>For more information, contact:</t>
  </si>
  <si>
    <t>Prof. Gregory G. Garner (gregory.garner@rutgers.edu), Department of Earth and Planetary Sciences, Rutgers University, New Brunswick, NJ, USA</t>
  </si>
  <si>
    <t>Prof. Robert E. Kopp (robert.kopp@rutgers.edu), Department of Earth and Planetary Sciences, Rutgers University, New Brunswick, NJ, USA</t>
  </si>
  <si>
    <t>Dr. Aimée B. A. Slangen (aimee.slangen@nioz.nl), Department of Estuarine and Delta Systems, NIOZ Royal Netherlands Institute for Sea Research, Yerseke, the Netherlands</t>
  </si>
  <si>
    <t>process</t>
  </si>
  <si>
    <t>confidence</t>
  </si>
  <si>
    <t>scenario</t>
  </si>
  <si>
    <t>quantile</t>
  </si>
  <si>
    <t>medium</t>
  </si>
  <si>
    <t>ssp126</t>
  </si>
  <si>
    <t>ssp370</t>
  </si>
  <si>
    <t>low</t>
  </si>
  <si>
    <t>GIS</t>
  </si>
  <si>
    <t>AIS</t>
  </si>
  <si>
    <t>2100_cm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</si>
</sst>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sz val="12"/>
      <name val="Calibri"/>
      <family val="2"/>
    </font>
    <font>
      <b/>
      <sz val="12"/>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baseColWidth="10" defaultColWidth="8.83203125" defaultRowHeight="15" x14ac:dyDescent="0.2"/>
  <cols>
    <col min="1" max="1" width="88" customWidth="1"/>
  </cols>
  <sheetData>
    <row r="1" spans="1:1" ht="19" x14ac:dyDescent="0.25">
      <c r="A1" s="1" t="s">
        <v>0</v>
      </c>
    </row>
    <row r="2" spans="1:1" ht="102" x14ac:dyDescent="0.2">
      <c r="A2" s="2" t="s">
        <v>1</v>
      </c>
    </row>
    <row r="4" spans="1:1" ht="19" x14ac:dyDescent="0.25">
      <c r="A4" s="1" t="s">
        <v>2</v>
      </c>
    </row>
    <row r="5" spans="1:1" ht="68" x14ac:dyDescent="0.2">
      <c r="A5" s="2" t="s">
        <v>3</v>
      </c>
    </row>
    <row r="6" spans="1:1" ht="136" x14ac:dyDescent="0.2">
      <c r="A6" s="2" t="s">
        <v>4</v>
      </c>
    </row>
    <row r="7" spans="1:1" ht="51" x14ac:dyDescent="0.2">
      <c r="A7" s="2" t="s">
        <v>5</v>
      </c>
    </row>
    <row r="8" spans="1:1" ht="85" x14ac:dyDescent="0.2">
      <c r="A8" s="2" t="s">
        <v>6</v>
      </c>
    </row>
    <row r="10" spans="1:1" ht="16" x14ac:dyDescent="0.2">
      <c r="A10" s="3" t="s">
        <v>7</v>
      </c>
    </row>
    <row r="11" spans="1:1" ht="51" x14ac:dyDescent="0.2">
      <c r="A11" s="2" t="s">
        <v>8</v>
      </c>
    </row>
    <row r="13" spans="1:1" ht="19" x14ac:dyDescent="0.25">
      <c r="A13" s="1" t="s">
        <v>9</v>
      </c>
    </row>
    <row r="14" spans="1:1" ht="17" x14ac:dyDescent="0.2">
      <c r="A14" s="2" t="s">
        <v>10</v>
      </c>
    </row>
    <row r="15" spans="1:1" ht="136" x14ac:dyDescent="0.2">
      <c r="A15" s="2" t="s">
        <v>11</v>
      </c>
    </row>
    <row r="17" spans="1:1" ht="85" x14ac:dyDescent="0.2">
      <c r="A17" s="2" t="s">
        <v>12</v>
      </c>
    </row>
    <row r="19" spans="1:1" ht="19" x14ac:dyDescent="0.25">
      <c r="A19" s="1" t="s">
        <v>13</v>
      </c>
    </row>
    <row r="20" spans="1:1" ht="17" x14ac:dyDescent="0.2">
      <c r="A20" s="2" t="s">
        <v>14</v>
      </c>
    </row>
    <row r="22" spans="1:1" ht="34" x14ac:dyDescent="0.2">
      <c r="A22" s="2" t="s">
        <v>15</v>
      </c>
    </row>
    <row r="23" spans="1:1" ht="34" x14ac:dyDescent="0.2">
      <c r="A23" s="2" t="s">
        <v>16</v>
      </c>
    </row>
    <row r="24" spans="1:1" ht="34" x14ac:dyDescent="0.2">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F21"/>
  <sheetViews>
    <sheetView tabSelected="1" workbookViewId="0">
      <selection activeCell="D29" sqref="D29"/>
    </sheetView>
  </sheetViews>
  <sheetFormatPr baseColWidth="10" defaultColWidth="8.83203125" defaultRowHeight="15" x14ac:dyDescent="0.2"/>
  <sheetData>
    <row r="1" spans="1:6" x14ac:dyDescent="0.2">
      <c r="A1" t="s">
        <v>18</v>
      </c>
      <c r="B1" t="s">
        <v>19</v>
      </c>
      <c r="C1" t="s">
        <v>20</v>
      </c>
      <c r="D1" t="s">
        <v>21</v>
      </c>
      <c r="E1">
        <v>2100</v>
      </c>
      <c r="F1" s="4" t="s">
        <v>28</v>
      </c>
    </row>
    <row r="2" spans="1:6" x14ac:dyDescent="0.2">
      <c r="A2" t="s">
        <v>26</v>
      </c>
      <c r="B2" t="s">
        <v>22</v>
      </c>
      <c r="C2" t="s">
        <v>23</v>
      </c>
      <c r="D2">
        <v>5</v>
      </c>
      <c r="E2">
        <v>-1.9E-2</v>
      </c>
      <c r="F2">
        <f>E2*100</f>
        <v>-1.9</v>
      </c>
    </row>
    <row r="3" spans="1:6" x14ac:dyDescent="0.2">
      <c r="A3" t="s">
        <v>26</v>
      </c>
      <c r="B3" t="s">
        <v>22</v>
      </c>
      <c r="C3" t="s">
        <v>23</v>
      </c>
      <c r="D3">
        <v>17</v>
      </c>
      <c r="E3">
        <v>1.2E-2</v>
      </c>
      <c r="F3">
        <f t="shared" ref="F3:F16" si="0">E3*100</f>
        <v>1.2</v>
      </c>
    </row>
    <row r="4" spans="1:6" x14ac:dyDescent="0.2">
      <c r="A4" t="s">
        <v>26</v>
      </c>
      <c r="B4" t="s">
        <v>22</v>
      </c>
      <c r="C4" t="s">
        <v>23</v>
      </c>
      <c r="D4">
        <v>50</v>
      </c>
      <c r="E4">
        <v>5.5E-2</v>
      </c>
      <c r="F4">
        <f t="shared" si="0"/>
        <v>5.5</v>
      </c>
    </row>
    <row r="5" spans="1:6" x14ac:dyDescent="0.2">
      <c r="A5" t="s">
        <v>26</v>
      </c>
      <c r="B5" t="s">
        <v>22</v>
      </c>
      <c r="C5" t="s">
        <v>23</v>
      </c>
      <c r="D5">
        <v>83</v>
      </c>
      <c r="E5">
        <v>0.10299999999999999</v>
      </c>
      <c r="F5">
        <f t="shared" si="0"/>
        <v>10.299999999999999</v>
      </c>
    </row>
    <row r="6" spans="1:6" x14ac:dyDescent="0.2">
      <c r="A6" t="s">
        <v>26</v>
      </c>
      <c r="B6" t="s">
        <v>22</v>
      </c>
      <c r="C6" t="s">
        <v>23</v>
      </c>
      <c r="D6">
        <v>95</v>
      </c>
      <c r="E6">
        <v>0.151</v>
      </c>
      <c r="F6">
        <f t="shared" si="0"/>
        <v>15.1</v>
      </c>
    </row>
    <row r="7" spans="1:6" x14ac:dyDescent="0.2">
      <c r="A7" t="s">
        <v>26</v>
      </c>
      <c r="B7" t="s">
        <v>22</v>
      </c>
      <c r="C7" t="s">
        <v>24</v>
      </c>
      <c r="D7">
        <v>5</v>
      </c>
      <c r="E7">
        <v>3.5000000000000003E-2</v>
      </c>
      <c r="F7">
        <f t="shared" si="0"/>
        <v>3.5000000000000004</v>
      </c>
    </row>
    <row r="8" spans="1:6" x14ac:dyDescent="0.2">
      <c r="A8" t="s">
        <v>26</v>
      </c>
      <c r="B8" t="s">
        <v>22</v>
      </c>
      <c r="C8" t="s">
        <v>24</v>
      </c>
      <c r="D8">
        <v>17</v>
      </c>
      <c r="E8">
        <v>6.9000000000000006E-2</v>
      </c>
      <c r="F8">
        <f t="shared" si="0"/>
        <v>6.9</v>
      </c>
    </row>
    <row r="9" spans="1:6" x14ac:dyDescent="0.2">
      <c r="A9" t="s">
        <v>26</v>
      </c>
      <c r="B9" t="s">
        <v>22</v>
      </c>
      <c r="C9" t="s">
        <v>24</v>
      </c>
      <c r="D9">
        <v>50</v>
      </c>
      <c r="E9">
        <v>0.114</v>
      </c>
      <c r="F9">
        <f t="shared" si="0"/>
        <v>11.4</v>
      </c>
    </row>
    <row r="10" spans="1:6" x14ac:dyDescent="0.2">
      <c r="A10" t="s">
        <v>26</v>
      </c>
      <c r="B10" t="s">
        <v>22</v>
      </c>
      <c r="C10" t="s">
        <v>24</v>
      </c>
      <c r="D10">
        <v>83</v>
      </c>
      <c r="E10">
        <v>0.16</v>
      </c>
      <c r="F10">
        <f t="shared" si="0"/>
        <v>16</v>
      </c>
    </row>
    <row r="11" spans="1:6" x14ac:dyDescent="0.2">
      <c r="A11" t="s">
        <v>26</v>
      </c>
      <c r="B11" t="s">
        <v>22</v>
      </c>
      <c r="C11" t="s">
        <v>24</v>
      </c>
      <c r="D11">
        <v>95</v>
      </c>
      <c r="E11">
        <v>0.20499999999999999</v>
      </c>
      <c r="F11">
        <f t="shared" si="0"/>
        <v>20.5</v>
      </c>
    </row>
    <row r="12" spans="1:6" x14ac:dyDescent="0.2">
      <c r="A12" t="s">
        <v>26</v>
      </c>
      <c r="B12" t="s">
        <v>25</v>
      </c>
      <c r="C12" t="s">
        <v>23</v>
      </c>
      <c r="D12">
        <v>5</v>
      </c>
      <c r="E12">
        <v>-1.9E-2</v>
      </c>
      <c r="F12">
        <f t="shared" si="0"/>
        <v>-1.9</v>
      </c>
    </row>
    <row r="13" spans="1:6" x14ac:dyDescent="0.2">
      <c r="A13" t="s">
        <v>26</v>
      </c>
      <c r="B13" t="s">
        <v>25</v>
      </c>
      <c r="C13" t="s">
        <v>23</v>
      </c>
      <c r="D13">
        <v>17</v>
      </c>
      <c r="E13">
        <v>1.2E-2</v>
      </c>
      <c r="F13">
        <f t="shared" si="0"/>
        <v>1.2</v>
      </c>
    </row>
    <row r="14" spans="1:6" x14ac:dyDescent="0.2">
      <c r="A14" t="s">
        <v>26</v>
      </c>
      <c r="B14" t="s">
        <v>25</v>
      </c>
      <c r="C14" t="s">
        <v>23</v>
      </c>
      <c r="D14">
        <v>50</v>
      </c>
      <c r="E14">
        <v>9.1999999999999998E-2</v>
      </c>
      <c r="F14">
        <f t="shared" si="0"/>
        <v>9.1999999999999993</v>
      </c>
    </row>
    <row r="15" spans="1:6" x14ac:dyDescent="0.2">
      <c r="A15" t="s">
        <v>26</v>
      </c>
      <c r="B15" t="s">
        <v>25</v>
      </c>
      <c r="C15" t="s">
        <v>23</v>
      </c>
      <c r="D15">
        <v>83</v>
      </c>
      <c r="E15">
        <v>0.30199999999999999</v>
      </c>
      <c r="F15">
        <f t="shared" si="0"/>
        <v>30.2</v>
      </c>
    </row>
    <row r="16" spans="1:6" x14ac:dyDescent="0.2">
      <c r="A16" t="s">
        <v>26</v>
      </c>
      <c r="B16" t="s">
        <v>25</v>
      </c>
      <c r="C16" t="s">
        <v>23</v>
      </c>
      <c r="D16">
        <v>95</v>
      </c>
      <c r="E16">
        <v>0.55600000000000005</v>
      </c>
      <c r="F16">
        <f t="shared" si="0"/>
        <v>55.600000000000009</v>
      </c>
    </row>
    <row r="17" hidden="1" x14ac:dyDescent="0.2"/>
    <row r="18" hidden="1" x14ac:dyDescent="0.2"/>
    <row r="19" hidden="1" x14ac:dyDescent="0.2"/>
    <row r="20" hidden="1" x14ac:dyDescent="0.2"/>
    <row r="21" hidden="1" x14ac:dyDescent="0.2"/>
  </sheetData>
  <autoFilter ref="A1:E21" xr:uid="{00000000-0001-0000-0300-000000000000}">
    <filterColumn colId="2">
      <customFilters>
        <customFilter operator="notEqual" val=" "/>
      </custom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21"/>
  <sheetViews>
    <sheetView workbookViewId="0">
      <selection activeCell="F26" sqref="F26"/>
    </sheetView>
  </sheetViews>
  <sheetFormatPr baseColWidth="10" defaultColWidth="8.83203125" defaultRowHeight="15" x14ac:dyDescent="0.2"/>
  <sheetData>
    <row r="1" spans="1:6" x14ac:dyDescent="0.2">
      <c r="A1" t="s">
        <v>18</v>
      </c>
      <c r="B1" t="s">
        <v>19</v>
      </c>
      <c r="C1" t="s">
        <v>20</v>
      </c>
      <c r="D1" t="s">
        <v>21</v>
      </c>
      <c r="E1">
        <v>2100</v>
      </c>
      <c r="F1" t="s">
        <v>28</v>
      </c>
    </row>
    <row r="2" spans="1:6" x14ac:dyDescent="0.2">
      <c r="A2" t="s">
        <v>27</v>
      </c>
      <c r="B2" t="s">
        <v>22</v>
      </c>
      <c r="C2" t="s">
        <v>23</v>
      </c>
      <c r="D2">
        <v>5</v>
      </c>
      <c r="E2">
        <v>-5.0000000000000001E-3</v>
      </c>
      <c r="F2">
        <f>E2*100</f>
        <v>-0.5</v>
      </c>
    </row>
    <row r="3" spans="1:6" x14ac:dyDescent="0.2">
      <c r="A3" t="s">
        <v>27</v>
      </c>
      <c r="B3" t="s">
        <v>22</v>
      </c>
      <c r="C3" t="s">
        <v>23</v>
      </c>
      <c r="D3">
        <v>17</v>
      </c>
      <c r="E3">
        <v>3.1E-2</v>
      </c>
      <c r="F3">
        <f t="shared" ref="F3:F16" si="0">E3*100</f>
        <v>3.1</v>
      </c>
    </row>
    <row r="4" spans="1:6" x14ac:dyDescent="0.2">
      <c r="A4" t="s">
        <v>27</v>
      </c>
      <c r="B4" t="s">
        <v>22</v>
      </c>
      <c r="C4" t="s">
        <v>23</v>
      </c>
      <c r="D4">
        <v>50</v>
      </c>
      <c r="E4">
        <v>0.108</v>
      </c>
      <c r="F4">
        <f t="shared" si="0"/>
        <v>10.8</v>
      </c>
    </row>
    <row r="5" spans="1:6" x14ac:dyDescent="0.2">
      <c r="A5" t="s">
        <v>27</v>
      </c>
      <c r="B5" t="s">
        <v>22</v>
      </c>
      <c r="C5" t="s">
        <v>23</v>
      </c>
      <c r="D5">
        <v>83</v>
      </c>
      <c r="E5">
        <v>0.26900000000000002</v>
      </c>
      <c r="F5">
        <f t="shared" si="0"/>
        <v>26.900000000000002</v>
      </c>
    </row>
    <row r="6" spans="1:6" x14ac:dyDescent="0.2">
      <c r="A6" t="s">
        <v>27</v>
      </c>
      <c r="B6" t="s">
        <v>22</v>
      </c>
      <c r="C6" t="s">
        <v>23</v>
      </c>
      <c r="D6">
        <v>95</v>
      </c>
      <c r="E6">
        <v>0.41699999999999998</v>
      </c>
      <c r="F6">
        <f t="shared" si="0"/>
        <v>41.699999999999996</v>
      </c>
    </row>
    <row r="7" spans="1:6" x14ac:dyDescent="0.2">
      <c r="A7" t="s">
        <v>27</v>
      </c>
      <c r="B7" t="s">
        <v>22</v>
      </c>
      <c r="C7" t="s">
        <v>24</v>
      </c>
      <c r="D7">
        <v>5</v>
      </c>
      <c r="E7">
        <v>-1.2E-2</v>
      </c>
      <c r="F7">
        <f t="shared" si="0"/>
        <v>-1.2</v>
      </c>
    </row>
    <row r="8" spans="1:6" x14ac:dyDescent="0.2">
      <c r="A8" t="s">
        <v>27</v>
      </c>
      <c r="B8" t="s">
        <v>22</v>
      </c>
      <c r="C8" t="s">
        <v>24</v>
      </c>
      <c r="D8">
        <v>17</v>
      </c>
      <c r="E8">
        <v>2.5000000000000001E-2</v>
      </c>
      <c r="F8">
        <f t="shared" si="0"/>
        <v>2.5</v>
      </c>
    </row>
    <row r="9" spans="1:6" x14ac:dyDescent="0.2">
      <c r="A9" t="s">
        <v>27</v>
      </c>
      <c r="B9" t="s">
        <v>22</v>
      </c>
      <c r="C9" t="s">
        <v>24</v>
      </c>
      <c r="D9">
        <v>50</v>
      </c>
      <c r="E9">
        <v>0.11</v>
      </c>
      <c r="F9">
        <f t="shared" si="0"/>
        <v>11</v>
      </c>
    </row>
    <row r="10" spans="1:6" x14ac:dyDescent="0.2">
      <c r="A10" t="s">
        <v>27</v>
      </c>
      <c r="B10" t="s">
        <v>22</v>
      </c>
      <c r="C10" t="s">
        <v>24</v>
      </c>
      <c r="D10">
        <v>83</v>
      </c>
      <c r="E10">
        <v>0.314</v>
      </c>
      <c r="F10">
        <f t="shared" si="0"/>
        <v>31.4</v>
      </c>
    </row>
    <row r="11" spans="1:6" x14ac:dyDescent="0.2">
      <c r="A11" t="s">
        <v>27</v>
      </c>
      <c r="B11" t="s">
        <v>22</v>
      </c>
      <c r="C11" t="s">
        <v>24</v>
      </c>
      <c r="D11">
        <v>95</v>
      </c>
      <c r="E11">
        <v>0.51100000000000001</v>
      </c>
      <c r="F11">
        <f t="shared" si="0"/>
        <v>51.1</v>
      </c>
    </row>
    <row r="12" spans="1:6" x14ac:dyDescent="0.2">
      <c r="A12" t="s">
        <v>27</v>
      </c>
      <c r="B12" t="s">
        <v>25</v>
      </c>
      <c r="C12" t="s">
        <v>23</v>
      </c>
      <c r="D12">
        <v>5</v>
      </c>
      <c r="E12">
        <v>-7.9000000000000001E-2</v>
      </c>
      <c r="F12">
        <f t="shared" si="0"/>
        <v>-7.9</v>
      </c>
    </row>
    <row r="13" spans="1:6" x14ac:dyDescent="0.2">
      <c r="A13" t="s">
        <v>27</v>
      </c>
      <c r="B13" t="s">
        <v>25</v>
      </c>
      <c r="C13" t="s">
        <v>23</v>
      </c>
      <c r="D13">
        <v>17</v>
      </c>
      <c r="E13">
        <v>-0.01</v>
      </c>
      <c r="F13">
        <f t="shared" si="0"/>
        <v>-1</v>
      </c>
    </row>
    <row r="14" spans="1:6" x14ac:dyDescent="0.2">
      <c r="A14" t="s">
        <v>27</v>
      </c>
      <c r="B14" t="s">
        <v>25</v>
      </c>
      <c r="C14" t="s">
        <v>23</v>
      </c>
      <c r="D14">
        <v>50</v>
      </c>
      <c r="E14">
        <v>9.8000000000000004E-2</v>
      </c>
      <c r="F14">
        <f t="shared" si="0"/>
        <v>9.8000000000000007</v>
      </c>
    </row>
    <row r="15" spans="1:6" x14ac:dyDescent="0.2">
      <c r="A15" t="s">
        <v>27</v>
      </c>
      <c r="B15" t="s">
        <v>25</v>
      </c>
      <c r="C15" t="s">
        <v>23</v>
      </c>
      <c r="D15">
        <v>83</v>
      </c>
      <c r="E15">
        <v>0.26900000000000002</v>
      </c>
      <c r="F15">
        <f t="shared" si="0"/>
        <v>26.900000000000002</v>
      </c>
    </row>
    <row r="16" spans="1:6" x14ac:dyDescent="0.2">
      <c r="A16" t="s">
        <v>27</v>
      </c>
      <c r="B16" t="s">
        <v>25</v>
      </c>
      <c r="C16" t="s">
        <v>23</v>
      </c>
      <c r="D16">
        <v>95</v>
      </c>
      <c r="E16">
        <v>0.51800000000000002</v>
      </c>
      <c r="F16">
        <f t="shared" si="0"/>
        <v>51.800000000000004</v>
      </c>
    </row>
    <row r="17" hidden="1" x14ac:dyDescent="0.2"/>
    <row r="18" hidden="1" x14ac:dyDescent="0.2"/>
    <row r="19" hidden="1" x14ac:dyDescent="0.2"/>
    <row r="20" hidden="1" x14ac:dyDescent="0.2"/>
    <row r="21" hidden="1" x14ac:dyDescent="0.2"/>
  </sheetData>
  <autoFilter ref="A1:E21" xr:uid="{00000000-0001-0000-0400-000000000000}">
    <filterColumn colId="2">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GIS</vt:lpstr>
      <vt:lpstr>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H. Davis</cp:lastModifiedBy>
  <dcterms:created xsi:type="dcterms:W3CDTF">2026-07-17T18:25:53Z</dcterms:created>
  <dcterms:modified xsi:type="dcterms:W3CDTF">2026-07-17T19:20:25Z</dcterms:modified>
</cp:coreProperties>
</file>